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d32f7d2ee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a96624302b2e429b"/>
    <x:sheet xmlns:r="http://schemas.openxmlformats.org/officeDocument/2006/relationships" name="Dashboard" sheetId="2" r:id="R91c4d0ee281c4123"/>
    <x:sheet xmlns:r="http://schemas.openxmlformats.org/officeDocument/2006/relationships" name="Lists" sheetId="3" r:id="Rf8aaed5c9f2b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a619b908448e5" /><Relationship Type="http://schemas.openxmlformats.org/officeDocument/2006/relationships/theme" Target="/xl/theme/theme1.xml" Id="R3b25bdb07db1448a" /><Relationship Type="http://schemas.openxmlformats.org/officeDocument/2006/relationships/sharedStrings" Target="/xl/sharedStrings.xml" Id="Ra8c0e08d3a5b4c76" /><Relationship Type="http://schemas.openxmlformats.org/officeDocument/2006/relationships/worksheet" Target="/xl/worksheets/sheet1.xml" Id="Ra96624302b2e429b" /><Relationship Type="http://schemas.openxmlformats.org/officeDocument/2006/relationships/worksheet" Target="/xl/worksheets/sheet2.xml" Id="R91c4d0ee281c4123" /><Relationship Type="http://schemas.openxmlformats.org/officeDocument/2006/relationships/worksheet" Target="/xl/worksheets/sheet3.xml" Id="Rf8aaed5c9f2b42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a86cf244d84e4c" /><Relationship Type="http://schemas.openxmlformats.org/officeDocument/2006/relationships/chart" Target="/xl/drawings/charts/chart2.xml" Id="R3ada3d4a408147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Tickets</c:v>
          </c:tx>
          <c:cat>
            <c:strRef>
              <c:f>'Dashboard'!$A$13:$A$21</c:f>
              <c:strCache>
                <c:ptCount val="0"/>
              </c:strCache>
            </c:strRef>
          </c:cat>
          <c:val>
            <c:numRef>
              <c:f>'Dashboard'!$B$13:$B$21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a86cf244d84e4c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da3d4a408147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cketsTable" displayName="TicketsTable" ref="A1:P31" headerRowCount="1">
  <x:tableColumns count="16">
    <x:tableColumn id="1" name="Ticket ID"/>
    <x:tableColumn id="2" name="Date Opened"/>
    <x:tableColumn id="3" name="Requester"/>
    <x:tableColumn id="4" name="Department"/>
    <x:tableColumn id="5" name="Category"/>
    <x:tableColumn id="6" name="Issue Summary"/>
    <x:tableColumn id="7" name="Priority"/>
    <x:tableColumn id="8" name="Status"/>
    <x:tableColumn id="9" name="Assigned To"/>
    <x:tableColumn id="10" name="Response SLA Hrs"/>
    <x:tableColumn id="11" name="Resolution SLA Hrs"/>
    <x:tableColumn id="12" name="Actual Resolution Hrs"/>
    <x:tableColumn id="13" name="SLA Met?"/>
    <x:tableColumn id="14" name="Escalated?"/>
    <x:tableColumn id="15" name="KB Article"/>
    <x:tableColumn id="16" name="Resolu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d541c438064b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1ce81f779e9461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.770000457763672" hidden="0" customWidth="1"/>
    <x:col min="3" max="3" width="8.609999656677246" hidden="0" customWidth="1"/>
    <x:col min="4" max="4" width="14.9399995803833" hidden="0" customWidth="1"/>
    <x:col min="5" max="5" width="17.229999542236328" hidden="0" customWidth="1"/>
    <x:col min="6" max="6" width="36" hidden="0" customWidth="1"/>
    <x:col min="7" max="7" width="6.730000019073486" hidden="0" customWidth="1"/>
    <x:col min="8" max="8" width="8.75" hidden="0" customWidth="1"/>
    <x:col min="9" max="9" width="13.319999694824219" hidden="0" customWidth="1"/>
    <x:col min="10" max="10" width="14.270000457763672" hidden="0" customWidth="1"/>
    <x:col min="11" max="11" width="15.210000038146973" hidden="0" customWidth="1"/>
    <x:col min="12" max="12" width="17.5" hidden="0" customWidth="1"/>
    <x:col min="13" max="13" width="7.670000076293945" hidden="0" customWidth="1"/>
    <x:col min="14" max="14" width="8.479999542236328" hidden="0" customWidth="1"/>
    <x:col min="15" max="15" width="7.940000057220459" hidden="0" customWidth="1"/>
    <x:col min="16" max="16" width="36" hidden="0" customWidth="1"/>
  </x:cols>
  <x:sheetData>
    <x:row r="1">
      <x:c r="A1" s="6" t="str">
        <x:v>Ticket ID</x:v>
      </x:c>
      <x:c r="B1" s="6" t="str">
        <x:v>Date Opened</x:v>
      </x:c>
      <x:c r="C1" s="6" t="str">
        <x:v>Requester</x:v>
      </x:c>
      <x:c r="D1" s="6" t="str">
        <x:v>Department</x:v>
      </x:c>
      <x:c r="E1" s="6" t="str">
        <x:v>Category</x:v>
      </x:c>
      <x:c r="F1" s="6" t="str">
        <x:v>Issue Summary</x:v>
      </x:c>
      <x:c r="G1" s="6" t="str">
        <x:v>Priority</x:v>
      </x:c>
      <x:c r="H1" s="6" t="str">
        <x:v>Status</x:v>
      </x:c>
      <x:c r="I1" s="6" t="str">
        <x:v>Assigned To</x:v>
      </x:c>
      <x:c r="J1" s="6" t="str">
        <x:v>Response SLA Hrs</x:v>
      </x:c>
      <x:c r="K1" s="6" t="str">
        <x:v>Resolution SLA Hrs</x:v>
      </x:c>
      <x:c r="L1" s="6" t="str">
        <x:v>Actual Resolution Hrs</x:v>
      </x:c>
      <x:c r="M1" s="6" t="str">
        <x:v>SLA Met?</x:v>
      </x:c>
      <x:c r="N1" s="6" t="str">
        <x:v>Escalated?</x:v>
      </x:c>
      <x:c r="O1" s="6" t="str">
        <x:v>KB Article</x:v>
      </x:c>
      <x:c r="P1" s="6" t="str">
        <x:v>Resolution Notes</x:v>
      </x:c>
    </x:row>
    <x:row r="2">
      <x:c r="A2" t="str">
        <x:v>T001</x:v>
      </x:c>
      <x:c r="B2" s="12" t="n">
        <x:v>46113</x:v>
      </x:c>
      <x:c r="C2" t="str">
        <x:v>M. Lee</x:v>
      </x:c>
      <x:c r="D2" t="str">
        <x:v>HR</x:v>
      </x:c>
      <x:c r="E2" t="str">
        <x:v>Network Connectivity</x:v>
      </x:c>
      <x:c r="F2" t="str">
        <x:v>User cannot connect to Wi-Fi or internal resources</x:v>
      </x:c>
      <x:c r="G2" t="str">
        <x:v>Medium</x:v>
      </x:c>
      <x:c r="H2" t="str">
        <x:v>Closed</x:v>
      </x:c>
      <x:c r="I2" t="str">
        <x:v>Tier 1 Queue</x:v>
      </x:c>
      <x:c r="J2" s="14" t="n">
        <x:v>4</x:v>
      </x:c>
      <x:c r="K2" s="14" t="n">
        <x:v>16</x:v>
      </x:c>
      <x:c r="L2" s="14" t="n">
        <x:v>12.8</x:v>
      </x:c>
      <x:c r="M2" t="str">
        <x:f>IF(L2="","Pending",IF(L2&lt;=K2,"Yes","No"))</x:f>
        <x:v>Yes</x:v>
      </x:c>
      <x:c r="N2" t="str">
        <x:v>No</x:v>
      </x:c>
      <x:c r="O2" t="str">
        <x:v>KB002</x:v>
      </x:c>
      <x:c r="P2" t="str">
        <x:v>Network adapter reset and IP renewed; user confirmed connectivity.</x:v>
      </x:c>
    </x:row>
    <x:row r="3">
      <x:c r="A3" t="str">
        <x:v>T002</x:v>
      </x:c>
      <x:c r="B3" s="12" t="n">
        <x:v>46114</x:v>
      </x:c>
      <x:c r="C3" t="str">
        <x:v>S. Patel</x:v>
      </x:c>
      <x:c r="D3" t="str">
        <x:v>Finance</x:v>
      </x:c>
      <x:c r="E3" t="str">
        <x:v>Email Access</x:v>
      </x:c>
      <x:c r="F3" t="str">
        <x:v>User unable to access mailbox or send email</x:v>
      </x:c>
      <x:c r="G3" t="str">
        <x:v>Low</x:v>
      </x:c>
      <x:c r="H3" t="str">
        <x:v>Closed</x:v>
      </x:c>
      <x:c r="I3" t="str">
        <x:v>Tier 2 Support</x:v>
      </x:c>
      <x:c r="J3" s="14" t="n">
        <x:v>8</x:v>
      </x:c>
      <x:c r="K3" s="14" t="n">
        <x:v>40</x:v>
      </x:c>
      <x:c r="L3" s="14" t="n">
        <x:v>36</x:v>
      </x:c>
      <x:c r="M3" t="str">
        <x:f>IF(L3="","Pending",IF(L3&lt;=K3,"Yes","No"))</x:f>
        <x:v>Yes</x:v>
      </x:c>
      <x:c r="N3" t="str">
        <x:v>No</x:v>
      </x:c>
      <x:c r="O3" t="str">
        <x:v>N/A</x:v>
      </x:c>
      <x:c r="P3" t="str">
        <x:v>Mailbox profile repaired and sign-in tested successfully.</x:v>
      </x:c>
    </x:row>
    <x:row r="4">
      <x:c r="A4" t="str">
        <x:v>T003</x:v>
      </x:c>
      <x:c r="B4" s="12" t="n">
        <x:v>46115</x:v>
      </x:c>
      <x:c r="C4" t="str">
        <x:v>J. Garcia</x:v>
      </x:c>
      <x:c r="D4" t="str">
        <x:v>IT</x:v>
      </x:c>
      <x:c r="E4" t="str">
        <x:v>Account Lockout</x:v>
      </x:c>
      <x:c r="F4" t="str">
        <x:v>User account locked after multiple failed login attempts</x:v>
      </x:c>
      <x:c r="G4" t="str">
        <x:v>Critical</x:v>
      </x:c>
      <x:c r="H4" t="str">
        <x:v>Closed</x:v>
      </x:c>
      <x:c r="I4" t="str">
        <x:v>Desktop Support</x:v>
      </x:c>
      <x:c r="J4" s="14" t="n">
        <x:v>0.25</x:v>
      </x:c>
      <x:c r="K4" s="14" t="n">
        <x:v>4</x:v>
      </x:c>
      <x:c r="L4" s="14" t="n">
        <x:v>4.7</x:v>
      </x:c>
      <x:c r="M4" t="str">
        <x:f>IF(L4="","Pending",IF(L4&lt;=K4,"Yes","No"))</x:f>
        <x:v>No</x:v>
      </x:c>
      <x:c r="N4" t="str">
        <x:v>No</x:v>
      </x:c>
      <x:c r="O4" t="str">
        <x:v>KB001</x:v>
      </x:c>
      <x:c r="P4" t="str">
        <x:v>Account unlocked and password reset; user confirmed access restored.</x:v>
      </x:c>
    </x:row>
    <x:row r="5">
      <x:c r="A5" t="str">
        <x:v>T004</x:v>
      </x:c>
      <x:c r="B5" s="12" t="n">
        <x:v>46116</x:v>
      </x:c>
      <x:c r="C5" t="str">
        <x:v>T. Brown</x:v>
      </x:c>
      <x:c r="D5" t="str">
        <x:v>Administration</x:v>
      </x:c>
      <x:c r="E5" t="str">
        <x:v>Slow Computer</x:v>
      </x:c>
      <x:c r="F5" t="str">
        <x:v>Device running slowly during login and application launch</x:v>
      </x:c>
      <x:c r="G5" t="str">
        <x:v>Medium</x:v>
      </x:c>
      <x:c r="H5" t="str">
        <x:v>Closed</x:v>
      </x:c>
      <x:c r="I5" t="str">
        <x:v>Network Team</x:v>
      </x:c>
      <x:c r="J5" s="14" t="n">
        <x:v>4</x:v>
      </x:c>
      <x:c r="K5" s="14" t="n">
        <x:v>16</x:v>
      </x:c>
      <x:c r="L5" s="14" t="n">
        <x:v>16.4</x:v>
      </x:c>
      <x:c r="M5" t="str">
        <x:f>IF(L5="","Pending",IF(L5&lt;=K5,"Yes","No"))</x:f>
        <x:v>No</x:v>
      </x:c>
      <x:c r="N5" t="str">
        <x:v>No</x:v>
      </x:c>
      <x:c r="O5" t="str">
        <x:v>KB005</x:v>
      </x:c>
      <x:c r="P5" t="str">
        <x:v>Startup apps reduced and device restarted; performance improved.</x:v>
      </x:c>
    </x:row>
    <x:row r="6">
      <x:c r="A6" t="str">
        <x:v>T005</x:v>
      </x:c>
      <x:c r="B6" s="12" t="n">
        <x:v>46117</x:v>
      </x:c>
      <x:c r="C6" t="str">
        <x:v>D. Nguyen</x:v>
      </x:c>
      <x:c r="D6" t="str">
        <x:v>Member Services</x:v>
      </x:c>
      <x:c r="E6" t="str">
        <x:v>Hardware Issue</x:v>
      </x:c>
      <x:c r="F6" t="str">
        <x:v>Laptop peripheral or workstation hardware issue</x:v>
      </x:c>
      <x:c r="G6" t="str">
        <x:v>High</x:v>
      </x:c>
      <x:c r="H6" t="str">
        <x:v>Closed</x:v>
      </x:c>
      <x:c r="I6" t="str">
        <x:v>E. O.</x:v>
      </x:c>
      <x:c r="J6" s="14" t="n">
        <x:v>0.5</x:v>
      </x:c>
      <x:c r="K6" s="14" t="n">
        <x:v>8</x:v>
      </x:c>
      <x:c r="L6" s="14" t="n">
        <x:v>4.6</x:v>
      </x:c>
      <x:c r="M6" t="str">
        <x:f>IF(L6="","Pending",IF(L6&lt;=K6,"Yes","No"))</x:f>
        <x:v>Yes</x:v>
      </x:c>
      <x:c r="N6" t="str">
        <x:v>Yes</x:v>
      </x:c>
      <x:c r="O6" t="str">
        <x:v>N/A</x:v>
      </x:c>
      <x:c r="P6" t="str">
        <x:v>Hardware issue documented and replacement/escalation initiated.</x:v>
      </x:c>
    </x:row>
    <x:row r="7">
      <x:c r="A7" t="str">
        <x:v>T006</x:v>
      </x:c>
      <x:c r="B7" s="12" t="n">
        <x:v>46118</x:v>
      </x:c>
      <x:c r="C7" t="str">
        <x:v>R. Smith</x:v>
      </x:c>
      <x:c r="D7" t="str">
        <x:v>Clinical Operations</x:v>
      </x:c>
      <x:c r="E7" t="str">
        <x:v>Network Connectivity</x:v>
      </x:c>
      <x:c r="F7" t="str">
        <x:v>User cannot connect to Wi-Fi or internal resources</x:v>
      </x:c>
      <x:c r="G7" t="str">
        <x:v>Low</x:v>
      </x:c>
      <x:c r="H7" t="str">
        <x:v>Closed</x:v>
      </x:c>
      <x:c r="I7" t="str">
        <x:v>Tier 1 Queue</x:v>
      </x:c>
      <x:c r="J7" s="14" t="n">
        <x:v>8</x:v>
      </x:c>
      <x:c r="K7" s="14" t="n">
        <x:v>40</x:v>
      </x:c>
      <x:c r="L7" s="14" t="n">
        <x:v>34.8</x:v>
      </x:c>
      <x:c r="M7" t="str">
        <x:f>IF(L7="","Pending",IF(L7&lt;=K7,"Yes","No"))</x:f>
        <x:v>Yes</x:v>
      </x:c>
      <x:c r="N7" t="str">
        <x:v>No</x:v>
      </x:c>
      <x:c r="O7" t="str">
        <x:v>KB002</x:v>
      </x:c>
      <x:c r="P7" t="str">
        <x:v>Network adapter reset and IP renewed; user confirmed connectivity.</x:v>
      </x:c>
    </x:row>
    <x:row r="8">
      <x:c r="A8" t="str">
        <x:v>T007</x:v>
      </x:c>
      <x:c r="B8" s="12" t="n">
        <x:v>46119</x:v>
      </x:c>
      <x:c r="C8" t="str">
        <x:v>K. Wilson</x:v>
      </x:c>
      <x:c r="D8" t="str">
        <x:v>HR</x:v>
      </x:c>
      <x:c r="E8" t="str">
        <x:v>VPN Access</x:v>
      </x:c>
      <x:c r="F8" t="str">
        <x:v>User unable to connect to VPN remotely</x:v>
      </x:c>
      <x:c r="G8" t="str">
        <x:v>High</x:v>
      </x:c>
      <x:c r="H8" t="str">
        <x:v>Closed</x:v>
      </x:c>
      <x:c r="I8" t="str">
        <x:v>Tier 2 Support</x:v>
      </x:c>
      <x:c r="J8" s="14" t="n">
        <x:v>0.5</x:v>
      </x:c>
      <x:c r="K8" s="14" t="n">
        <x:v>8</x:v>
      </x:c>
      <x:c r="L8" s="14" t="n">
        <x:v>7</x:v>
      </x:c>
      <x:c r="M8" t="str">
        <x:f>IF(L8="","Pending",IF(L8&lt;=K8,"Yes","No"))</x:f>
        <x:v>Yes</x:v>
      </x:c>
      <x:c r="N8" t="str">
        <x:v>Yes</x:v>
      </x:c>
      <x:c r="O8" t="str">
        <x:v>KB002</x:v>
      </x:c>
      <x:c r="P8" t="str">
        <x:v>VPN client restarted and profile verified; escalated if access issue persisted.</x:v>
      </x:c>
    </x:row>
    <x:row r="9">
      <x:c r="A9" t="str">
        <x:v>T008</x:v>
      </x:c>
      <x:c r="B9" s="12" t="n">
        <x:v>46120</x:v>
      </x:c>
      <x:c r="C9" t="str">
        <x:v>L. Chen</x:v>
      </x:c>
      <x:c r="D9" t="str">
        <x:v>Finance</x:v>
      </x:c>
      <x:c r="E9" t="str">
        <x:v>Account Lockout</x:v>
      </x:c>
      <x:c r="F9" t="str">
        <x:v>User account locked after multiple failed login attempts</x:v>
      </x:c>
      <x:c r="G9" t="str">
        <x:v>Medium</x:v>
      </x:c>
      <x:c r="H9" t="str">
        <x:v>Closed</x:v>
      </x:c>
      <x:c r="I9" t="str">
        <x:v>Desktop Support</x:v>
      </x:c>
      <x:c r="J9" s="14" t="n">
        <x:v>4</x:v>
      </x:c>
      <x:c r="K9" s="14" t="n">
        <x:v>16</x:v>
      </x:c>
      <x:c r="L9" s="14" t="n">
        <x:v>15.2</x:v>
      </x:c>
      <x:c r="M9" t="str">
        <x:f>IF(L9="","Pending",IF(L9&lt;=K9,"Yes","No"))</x:f>
        <x:v>Yes</x:v>
      </x:c>
      <x:c r="N9" t="str">
        <x:v>No</x:v>
      </x:c>
      <x:c r="O9" t="str">
        <x:v>KB001</x:v>
      </x:c>
      <x:c r="P9" t="str">
        <x:v>Account unlocked and password reset; user confirmed access restored.</x:v>
      </x:c>
    </x:row>
    <x:row r="10">
      <x:c r="A10" t="str">
        <x:v>T009</x:v>
      </x:c>
      <x:c r="B10" s="12" t="n">
        <x:v>46121</x:v>
      </x:c>
      <x:c r="C10" t="str">
        <x:v>N. Davis</x:v>
      </x:c>
      <x:c r="D10" t="str">
        <x:v>IT</x:v>
      </x:c>
      <x:c r="E10" t="str">
        <x:v>Printer Issue</x:v>
      </x:c>
      <x:c r="F10" t="str">
        <x:v>Printer offline or print jobs stuck in queue</x:v>
      </x:c>
      <x:c r="G10" t="str">
        <x:v>Low</x:v>
      </x:c>
      <x:c r="H10" t="str">
        <x:v>Closed</x:v>
      </x:c>
      <x:c r="I10" t="str">
        <x:v>Network Team</x:v>
      </x:c>
      <x:c r="J10" s="14" t="n">
        <x:v>8</x:v>
      </x:c>
      <x:c r="K10" s="14" t="n">
        <x:v>40</x:v>
      </x:c>
      <x:c r="L10" s="14" t="n">
        <x:v>38.4</x:v>
      </x:c>
      <x:c r="M10" t="str">
        <x:f>IF(L10="","Pending",IF(L10&lt;=K10,"Yes","No"))</x:f>
        <x:v>Yes</x:v>
      </x:c>
      <x:c r="N10" t="str">
        <x:v>No</x:v>
      </x:c>
      <x:c r="O10" t="str">
        <x:v>KB004</x:v>
      </x:c>
      <x:c r="P10" t="str">
        <x:v>Print queue cleared and printer re-added; test print successful.</x:v>
      </x:c>
    </x:row>
    <x:row r="11">
      <x:c r="A11" t="str">
        <x:v>T010</x:v>
      </x:c>
      <x:c r="B11" s="12" t="n">
        <x:v>46122</x:v>
      </x:c>
      <x:c r="C11" t="str">
        <x:v>A. Johnson</x:v>
      </x:c>
      <x:c r="D11" t="str">
        <x:v>Administration</x:v>
      </x:c>
      <x:c r="E11" t="str">
        <x:v>Hardware Issue</x:v>
      </x:c>
      <x:c r="F11" t="str">
        <x:v>Laptop peripheral or workstation hardware issue</x:v>
      </x:c>
      <x:c r="G11" t="str">
        <x:v>Critical</x:v>
      </x:c>
      <x:c r="H11" t="str">
        <x:v>Closed</x:v>
      </x:c>
      <x:c r="I11" t="str">
        <x:v>E. O.</x:v>
      </x:c>
      <x:c r="J11" s="14" t="n">
        <x:v>0.25</x:v>
      </x:c>
      <x:c r="K11" s="14" t="n">
        <x:v>4</x:v>
      </x:c>
      <x:c r="L11" s="14" t="n">
        <x:v>1.1</x:v>
      </x:c>
      <x:c r="M11" t="str">
        <x:f>IF(L11="","Pending",IF(L11&lt;=K11,"Yes","No"))</x:f>
        <x:v>Yes</x:v>
      </x:c>
      <x:c r="N11" t="str">
        <x:v>Yes</x:v>
      </x:c>
      <x:c r="O11" t="str">
        <x:v>N/A</x:v>
      </x:c>
      <x:c r="P11" t="str">
        <x:v>Hardware issue documented and replacement/escalation initiated.</x:v>
      </x:c>
    </x:row>
    <x:row r="12">
      <x:c r="A12" t="str">
        <x:v>T011</x:v>
      </x:c>
      <x:c r="B12" s="12" t="n">
        <x:v>46123</x:v>
      </x:c>
      <x:c r="C12" t="str">
        <x:v>M. Lee</x:v>
      </x:c>
      <x:c r="D12" t="str">
        <x:v>Member Services</x:v>
      </x:c>
      <x:c r="E12" t="str">
        <x:v>Software Installation</x:v>
      </x:c>
      <x:c r="F12" t="str">
        <x:v>User needs approved business application installed</x:v>
      </x:c>
      <x:c r="G12" t="str">
        <x:v>Medium</x:v>
      </x:c>
      <x:c r="H12" t="str">
        <x:v>Closed</x:v>
      </x:c>
      <x:c r="I12" t="str">
        <x:v>Tier 1 Queue</x:v>
      </x:c>
      <x:c r="J12" s="14" t="n">
        <x:v>4</x:v>
      </x:c>
      <x:c r="K12" s="14" t="n">
        <x:v>16</x:v>
      </x:c>
      <x:c r="L12" s="14" t="n">
        <x:v>12.8</x:v>
      </x:c>
      <x:c r="M12" t="str">
        <x:f>IF(L12="","Pending",IF(L12&lt;=K12,"Yes","No"))</x:f>
        <x:v>Yes</x:v>
      </x:c>
      <x:c r="N12" t="str">
        <x:v>No</x:v>
      </x:c>
      <x:c r="O12" t="str">
        <x:v>KB003</x:v>
      </x:c>
      <x:c r="P12" t="str">
        <x:v>Approved software installed and launched successfully.</x:v>
      </x:c>
    </x:row>
    <x:row r="13">
      <x:c r="A13" t="str">
        <x:v>T012</x:v>
      </x:c>
      <x:c r="B13" s="12" t="n">
        <x:v>46124</x:v>
      </x:c>
      <x:c r="C13" t="str">
        <x:v>S. Patel</x:v>
      </x:c>
      <x:c r="D13" t="str">
        <x:v>Clinical Operations</x:v>
      </x:c>
      <x:c r="E13" t="str">
        <x:v>VPN Access</x:v>
      </x:c>
      <x:c r="F13" t="str">
        <x:v>User unable to connect to VPN remotely</x:v>
      </x:c>
      <x:c r="G13" t="str">
        <x:v>High</x:v>
      </x:c>
      <x:c r="H13" t="str">
        <x:v>Closed</x:v>
      </x:c>
      <x:c r="I13" t="str">
        <x:v>Tier 2 Support</x:v>
      </x:c>
      <x:c r="J13" s="14" t="n">
        <x:v>0.5</x:v>
      </x:c>
      <x:c r="K13" s="14" t="n">
        <x:v>8</x:v>
      </x:c>
      <x:c r="L13" s="14" t="n">
        <x:v>7</x:v>
      </x:c>
      <x:c r="M13" t="str">
        <x:f>IF(L13="","Pending",IF(L13&lt;=K13,"Yes","No"))</x:f>
        <x:v>Yes</x:v>
      </x:c>
      <x:c r="N13" t="str">
        <x:v>Yes</x:v>
      </x:c>
      <x:c r="O13" t="str">
        <x:v>KB002</x:v>
      </x:c>
      <x:c r="P13" t="str">
        <x:v>VPN client restarted and profile verified; escalated if access issue persisted.</x:v>
      </x:c>
    </x:row>
    <x:row r="14">
      <x:c r="A14" t="str">
        <x:v>T013</x:v>
      </x:c>
      <x:c r="B14" s="12" t="n">
        <x:v>46125</x:v>
      </x:c>
      <x:c r="C14" t="str">
        <x:v>J. Garcia</x:v>
      </x:c>
      <x:c r="D14" t="str">
        <x:v>HR</x:v>
      </x:c>
      <x:c r="E14" t="str">
        <x:v>Password Reset</x:v>
      </x:c>
      <x:c r="F14" t="str">
        <x:v>User unable to sign in after forgetting password</x:v>
      </x:c>
      <x:c r="G14" t="str">
        <x:v>Low</x:v>
      </x:c>
      <x:c r="H14" t="str">
        <x:v>Closed</x:v>
      </x:c>
      <x:c r="I14" t="str">
        <x:v>Desktop Support</x:v>
      </x:c>
      <x:c r="J14" s="14" t="n">
        <x:v>8</x:v>
      </x:c>
      <x:c r="K14" s="14" t="n">
        <x:v>40</x:v>
      </x:c>
      <x:c r="L14" s="14" t="n">
        <x:v>37.2</x:v>
      </x:c>
      <x:c r="M14" t="str">
        <x:f>IF(L14="","Pending",IF(L14&lt;=K14,"Yes","No"))</x:f>
        <x:v>Yes</x:v>
      </x:c>
      <x:c r="N14" t="str">
        <x:v>No</x:v>
      </x:c>
      <x:c r="O14" t="str">
        <x:v>KB001</x:v>
      </x:c>
      <x:c r="P14" t="str">
        <x:v>Password reset completed; user confirmed successful login.</x:v>
      </x:c>
    </x:row>
    <x:row r="15">
      <x:c r="A15" t="str">
        <x:v>T014</x:v>
      </x:c>
      <x:c r="B15" s="12" t="n">
        <x:v>46126</x:v>
      </x:c>
      <x:c r="C15" t="str">
        <x:v>T. Brown</x:v>
      </x:c>
      <x:c r="D15" t="str">
        <x:v>Finance</x:v>
      </x:c>
      <x:c r="E15" t="str">
        <x:v>Printer Issue</x:v>
      </x:c>
      <x:c r="F15" t="str">
        <x:v>Printer offline or print jobs stuck in queue</x:v>
      </x:c>
      <x:c r="G15" t="str">
        <x:v>High</x:v>
      </x:c>
      <x:c r="H15" t="str">
        <x:v>Closed</x:v>
      </x:c>
      <x:c r="I15" t="str">
        <x:v>Network Team</x:v>
      </x:c>
      <x:c r="J15" s="14" t="n">
        <x:v>0.5</x:v>
      </x:c>
      <x:c r="K15" s="14" t="n">
        <x:v>8</x:v>
      </x:c>
      <x:c r="L15" s="14" t="n">
        <x:v>9.4</x:v>
      </x:c>
      <x:c r="M15" t="str">
        <x:f>IF(L15="","Pending",IF(L15&lt;=K15,"Yes","No"))</x:f>
        <x:v>No</x:v>
      </x:c>
      <x:c r="N15" t="str">
        <x:v>No</x:v>
      </x:c>
      <x:c r="O15" t="str">
        <x:v>KB004</x:v>
      </x:c>
      <x:c r="P15" t="str">
        <x:v>Print queue cleared and printer re-added; test print successful.</x:v>
      </x:c>
    </x:row>
    <x:row r="16">
      <x:c r="A16" t="str">
        <x:v>T015</x:v>
      </x:c>
      <x:c r="B16" s="12" t="n">
        <x:v>46127</x:v>
      </x:c>
      <x:c r="C16" t="str">
        <x:v>D. Nguyen</x:v>
      </x:c>
      <x:c r="D16" t="str">
        <x:v>IT</x:v>
      </x:c>
      <x:c r="E16" t="str">
        <x:v>Email Access</x:v>
      </x:c>
      <x:c r="F16" t="str">
        <x:v>User unable to access mailbox or send email</x:v>
      </x:c>
      <x:c r="G16" t="str">
        <x:v>Medium</x:v>
      </x:c>
      <x:c r="H16" t="str">
        <x:v>Closed</x:v>
      </x:c>
      <x:c r="I16" t="str">
        <x:v>E. O.</x:v>
      </x:c>
      <x:c r="J16" s="14" t="n">
        <x:v>4</x:v>
      </x:c>
      <x:c r="K16" s="14" t="n">
        <x:v>16</x:v>
      </x:c>
      <x:c r="L16" s="14" t="n">
        <x:v>11.6</x:v>
      </x:c>
      <x:c r="M16" t="str">
        <x:f>IF(L16="","Pending",IF(L16&lt;=K16,"Yes","No"))</x:f>
        <x:v>Yes</x:v>
      </x:c>
      <x:c r="N16" t="str">
        <x:v>No</x:v>
      </x:c>
      <x:c r="O16" t="str">
        <x:v>N/A</x:v>
      </x:c>
      <x:c r="P16" t="str">
        <x:v>Mailbox profile repaired and sign-in tested successfully.</x:v>
      </x:c>
    </x:row>
    <x:row r="17">
      <x:c r="A17" t="str">
        <x:v>T016</x:v>
      </x:c>
      <x:c r="B17" s="12" t="n">
        <x:v>46128</x:v>
      </x:c>
      <x:c r="C17" t="str">
        <x:v>R. Smith</x:v>
      </x:c>
      <x:c r="D17" t="str">
        <x:v>Administration</x:v>
      </x:c>
      <x:c r="E17" t="str">
        <x:v>Software Installation</x:v>
      </x:c>
      <x:c r="F17" t="str">
        <x:v>User needs approved business application installed</x:v>
      </x:c>
      <x:c r="G17" t="str">
        <x:v>Low</x:v>
      </x:c>
      <x:c r="H17" t="str">
        <x:v>Closed</x:v>
      </x:c>
      <x:c r="I17" t="str">
        <x:v>Tier 1 Queue</x:v>
      </x:c>
      <x:c r="J17" s="14" t="n">
        <x:v>8</x:v>
      </x:c>
      <x:c r="K17" s="14" t="n">
        <x:v>40</x:v>
      </x:c>
      <x:c r="L17" s="14" t="n">
        <x:v>34.8</x:v>
      </x:c>
      <x:c r="M17" t="str">
        <x:f>IF(L17="","Pending",IF(L17&lt;=K17,"Yes","No"))</x:f>
        <x:v>Yes</x:v>
      </x:c>
      <x:c r="N17" t="str">
        <x:v>No</x:v>
      </x:c>
      <x:c r="O17" t="str">
        <x:v>KB003</x:v>
      </x:c>
      <x:c r="P17" t="str">
        <x:v>Approved software installed and launched successfully.</x:v>
      </x:c>
    </x:row>
    <x:row r="18">
      <x:c r="A18" t="str">
        <x:v>T017</x:v>
      </x:c>
      <x:c r="B18" s="12" t="n">
        <x:v>46129</x:v>
      </x:c>
      <x:c r="C18" t="str">
        <x:v>K. Wilson</x:v>
      </x:c>
      <x:c r="D18" t="str">
        <x:v>Member Services</x:v>
      </x:c>
      <x:c r="E18" t="str">
        <x:v>Slow Computer</x:v>
      </x:c>
      <x:c r="F18" t="str">
        <x:v>Device running slowly during login and application launch</x:v>
      </x:c>
      <x:c r="G18" t="str">
        <x:v>Critical</x:v>
      </x:c>
      <x:c r="H18" t="str">
        <x:v>Closed</x:v>
      </x:c>
      <x:c r="I18" t="str">
        <x:v>Tier 2 Support</x:v>
      </x:c>
      <x:c r="J18" s="14" t="n">
        <x:v>0.25</x:v>
      </x:c>
      <x:c r="K18" s="14" t="n">
        <x:v>4</x:v>
      </x:c>
      <x:c r="L18" s="14" t="n">
        <x:v>3.5</x:v>
      </x:c>
      <x:c r="M18" t="str">
        <x:f>IF(L18="","Pending",IF(L18&lt;=K18,"Yes","No"))</x:f>
        <x:v>Yes</x:v>
      </x:c>
      <x:c r="N18" t="str">
        <x:v>No</x:v>
      </x:c>
      <x:c r="O18" t="str">
        <x:v>KB005</x:v>
      </x:c>
      <x:c r="P18" t="str">
        <x:v>Startup apps reduced and device restarted; performance improved.</x:v>
      </x:c>
    </x:row>
    <x:row r="19">
      <x:c r="A19" t="str">
        <x:v>T018</x:v>
      </x:c>
      <x:c r="B19" s="12" t="n">
        <x:v>46130</x:v>
      </x:c>
      <x:c r="C19" t="str">
        <x:v>L. Chen</x:v>
      </x:c>
      <x:c r="D19" t="str">
        <x:v>Clinical Operations</x:v>
      </x:c>
      <x:c r="E19" t="str">
        <x:v>Password Reset</x:v>
      </x:c>
      <x:c r="F19" t="str">
        <x:v>User unable to sign in after forgetting password</x:v>
      </x:c>
      <x:c r="G19" t="str">
        <x:v>Medium</x:v>
      </x:c>
      <x:c r="H19" t="str">
        <x:v>Closed</x:v>
      </x:c>
      <x:c r="I19" t="str">
        <x:v>Desktop Support</x:v>
      </x:c>
      <x:c r="J19" s="14" t="n">
        <x:v>4</x:v>
      </x:c>
      <x:c r="K19" s="14" t="n">
        <x:v>16</x:v>
      </x:c>
      <x:c r="L19" s="14" t="n">
        <x:v>15.2</x:v>
      </x:c>
      <x:c r="M19" t="str">
        <x:f>IF(L19="","Pending",IF(L19&lt;=K19,"Yes","No"))</x:f>
        <x:v>Yes</x:v>
      </x:c>
      <x:c r="N19" t="str">
        <x:v>No</x:v>
      </x:c>
      <x:c r="O19" t="str">
        <x:v>KB001</x:v>
      </x:c>
      <x:c r="P19" t="str">
        <x:v>Password reset completed; user confirmed successful login.</x:v>
      </x:c>
    </x:row>
    <x:row r="20">
      <x:c r="A20" t="str">
        <x:v>T019</x:v>
      </x:c>
      <x:c r="B20" s="12" t="n">
        <x:v>46131</x:v>
      </x:c>
      <x:c r="C20" t="str">
        <x:v>N. Davis</x:v>
      </x:c>
      <x:c r="D20" t="str">
        <x:v>HR</x:v>
      </x:c>
      <x:c r="E20" t="str">
        <x:v>Network Connectivity</x:v>
      </x:c>
      <x:c r="F20" t="str">
        <x:v>User cannot connect to Wi-Fi or internal resources</x:v>
      </x:c>
      <x:c r="G20" t="str">
        <x:v>High</x:v>
      </x:c>
      <x:c r="H20" t="str">
        <x:v>Closed</x:v>
      </x:c>
      <x:c r="I20" t="str">
        <x:v>Network Team</x:v>
      </x:c>
      <x:c r="J20" s="14" t="n">
        <x:v>0.5</x:v>
      </x:c>
      <x:c r="K20" s="14" t="n">
        <x:v>8</x:v>
      </x:c>
      <x:c r="L20" s="14" t="n">
        <x:v>9.4</x:v>
      </x:c>
      <x:c r="M20" t="str">
        <x:f>IF(L20="","Pending",IF(L20&lt;=K20,"Yes","No"))</x:f>
        <x:v>No</x:v>
      </x:c>
      <x:c r="N20" t="str">
        <x:v>Yes</x:v>
      </x:c>
      <x:c r="O20" t="str">
        <x:v>KB002</x:v>
      </x:c>
      <x:c r="P20" t="str">
        <x:v>Network adapter reset and IP renewed; user confirmed connectivity.</x:v>
      </x:c>
    </x:row>
    <x:row r="21">
      <x:c r="A21" t="str">
        <x:v>T020</x:v>
      </x:c>
      <x:c r="B21" s="12" t="n">
        <x:v>46132</x:v>
      </x:c>
      <x:c r="C21" t="str">
        <x:v>A. Johnson</x:v>
      </x:c>
      <x:c r="D21" t="str">
        <x:v>Finance</x:v>
      </x:c>
      <x:c r="E21" t="str">
        <x:v>Email Access</x:v>
      </x:c>
      <x:c r="F21" t="str">
        <x:v>User unable to access mailbox or send email</x:v>
      </x:c>
      <x:c r="G21" t="str">
        <x:v>Low</x:v>
      </x:c>
      <x:c r="H21" t="str">
        <x:v>Closed</x:v>
      </x:c>
      <x:c r="I21" t="str">
        <x:v>E. O.</x:v>
      </x:c>
      <x:c r="J21" s="14" t="n">
        <x:v>8</x:v>
      </x:c>
      <x:c r="K21" s="14" t="n">
        <x:v>40</x:v>
      </x:c>
      <x:c r="L21" s="14" t="n">
        <x:v>33.6</x:v>
      </x:c>
      <x:c r="M21" t="str">
        <x:f>IF(L21="","Pending",IF(L21&lt;=K21,"Yes","No"))</x:f>
        <x:v>Yes</x:v>
      </x:c>
      <x:c r="N21" t="str">
        <x:v>No</x:v>
      </x:c>
      <x:c r="O21" t="str">
        <x:v>N/A</x:v>
      </x:c>
      <x:c r="P21" t="str">
        <x:v>Mailbox profile repaired and sign-in tested successfully.</x:v>
      </x:c>
    </x:row>
    <x:row r="22">
      <x:c r="A22" t="str">
        <x:v>T021</x:v>
      </x:c>
      <x:c r="B22" s="12" t="n">
        <x:v>46133</x:v>
      </x:c>
      <x:c r="C22" t="str">
        <x:v>M. Lee</x:v>
      </x:c>
      <x:c r="D22" t="str">
        <x:v>IT</x:v>
      </x:c>
      <x:c r="E22" t="str">
        <x:v>Account Lockout</x:v>
      </x:c>
      <x:c r="F22" t="str">
        <x:v>User account locked after multiple failed login attempts</x:v>
      </x:c>
      <x:c r="G22" t="str">
        <x:v>High</x:v>
      </x:c>
      <x:c r="H22" t="str">
        <x:v>Closed</x:v>
      </x:c>
      <x:c r="I22" t="str">
        <x:v>Tier 1 Queue</x:v>
      </x:c>
      <x:c r="J22" s="14" t="n">
        <x:v>0.5</x:v>
      </x:c>
      <x:c r="K22" s="14" t="n">
        <x:v>8</x:v>
      </x:c>
      <x:c r="L22" s="14" t="n">
        <x:v>5.8</x:v>
      </x:c>
      <x:c r="M22" t="str">
        <x:f>IF(L22="","Pending",IF(L22&lt;=K22,"Yes","No"))</x:f>
        <x:v>Yes</x:v>
      </x:c>
      <x:c r="N22" t="str">
        <x:v>No</x:v>
      </x:c>
      <x:c r="O22" t="str">
        <x:v>KB001</x:v>
      </x:c>
      <x:c r="P22" t="str">
        <x:v>Account unlocked and password reset; user confirmed access restored.</x:v>
      </x:c>
    </x:row>
    <x:row r="23">
      <x:c r="A23" t="str">
        <x:v>T022</x:v>
      </x:c>
      <x:c r="B23" s="12" t="n">
        <x:v>46134</x:v>
      </x:c>
      <x:c r="C23" t="str">
        <x:v>S. Patel</x:v>
      </x:c>
      <x:c r="D23" t="str">
        <x:v>Administration</x:v>
      </x:c>
      <x:c r="E23" t="str">
        <x:v>Slow Computer</x:v>
      </x:c>
      <x:c r="F23" t="str">
        <x:v>Device running slowly during login and application launch</x:v>
      </x:c>
      <x:c r="G23" t="str">
        <x:v>Medium</x:v>
      </x:c>
      <x:c r="H23" t="str">
        <x:v>Closed</x:v>
      </x:c>
      <x:c r="I23" t="str">
        <x:v>Tier 2 Support</x:v>
      </x:c>
      <x:c r="J23" s="14" t="n">
        <x:v>4</x:v>
      </x:c>
      <x:c r="K23" s="14" t="n">
        <x:v>16</x:v>
      </x:c>
      <x:c r="L23" s="14" t="n">
        <x:v>14</x:v>
      </x:c>
      <x:c r="M23" t="str">
        <x:f>IF(L23="","Pending",IF(L23&lt;=K23,"Yes","No"))</x:f>
        <x:v>Yes</x:v>
      </x:c>
      <x:c r="N23" t="str">
        <x:v>No</x:v>
      </x:c>
      <x:c r="O23" t="str">
        <x:v>KB005</x:v>
      </x:c>
      <x:c r="P23" t="str">
        <x:v>Startup apps reduced and device restarted; performance improved.</x:v>
      </x:c>
    </x:row>
    <x:row r="24">
      <x:c r="A24" t="str">
        <x:v>T023</x:v>
      </x:c>
      <x:c r="B24" s="12" t="n">
        <x:v>46135</x:v>
      </x:c>
      <x:c r="C24" t="str">
        <x:v>J. Garcia</x:v>
      </x:c>
      <x:c r="D24" t="str">
        <x:v>Member Services</x:v>
      </x:c>
      <x:c r="E24" t="str">
        <x:v>Hardware Issue</x:v>
      </x:c>
      <x:c r="F24" t="str">
        <x:v>Laptop peripheral or workstation hardware issue</x:v>
      </x:c>
      <x:c r="G24" t="str">
        <x:v>Low</x:v>
      </x:c>
      <x:c r="H24" t="str">
        <x:v>Closed</x:v>
      </x:c>
      <x:c r="I24" t="str">
        <x:v>Desktop Support</x:v>
      </x:c>
      <x:c r="J24" s="14" t="n">
        <x:v>8</x:v>
      </x:c>
      <x:c r="K24" s="14" t="n">
        <x:v>40</x:v>
      </x:c>
      <x:c r="L24" s="14" t="n">
        <x:v>37.2</x:v>
      </x:c>
      <x:c r="M24" t="str">
        <x:f>IF(L24="","Pending",IF(L24&lt;=K24,"Yes","No"))</x:f>
        <x:v>Yes</x:v>
      </x:c>
      <x:c r="N24" t="str">
        <x:v>No</x:v>
      </x:c>
      <x:c r="O24" t="str">
        <x:v>N/A</x:v>
      </x:c>
      <x:c r="P24" t="str">
        <x:v>Hardware issue documented and replacement/escalation initiated.</x:v>
      </x:c>
    </x:row>
    <x:row r="25">
      <x:c r="A25" t="str">
        <x:v>T024</x:v>
      </x:c>
      <x:c r="B25" s="12" t="n">
        <x:v>46136</x:v>
      </x:c>
      <x:c r="C25" t="str">
        <x:v>T. Brown</x:v>
      </x:c>
      <x:c r="D25" t="str">
        <x:v>Clinical Operations</x:v>
      </x:c>
      <x:c r="E25" t="str">
        <x:v>Network Connectivity</x:v>
      </x:c>
      <x:c r="F25" t="str">
        <x:v>User cannot connect to Wi-Fi or internal resources</x:v>
      </x:c>
      <x:c r="G25" t="str">
        <x:v>Critical</x:v>
      </x:c>
      <x:c r="H25" t="str">
        <x:v>Closed</x:v>
      </x:c>
      <x:c r="I25" t="str">
        <x:v>Network Team</x:v>
      </x:c>
      <x:c r="J25" s="14" t="n">
        <x:v>0.25</x:v>
      </x:c>
      <x:c r="K25" s="14" t="n">
        <x:v>4</x:v>
      </x:c>
      <x:c r="L25" s="14" t="n">
        <x:v>5.9</x:v>
      </x:c>
      <x:c r="M25" t="str">
        <x:f>IF(L25="","Pending",IF(L25&lt;=K25,"Yes","No"))</x:f>
        <x:v>No</x:v>
      </x:c>
      <x:c r="N25" t="str">
        <x:v>Yes</x:v>
      </x:c>
      <x:c r="O25" t="str">
        <x:v>KB002</x:v>
      </x:c>
      <x:c r="P25" t="str">
        <x:v>Network adapter reset and IP renewed; user confirmed connectivity.</x:v>
      </x:c>
    </x:row>
    <x:row r="26">
      <x:c r="A26" t="str">
        <x:v>T025</x:v>
      </x:c>
      <x:c r="B26" s="12" t="n">
        <x:v>46137</x:v>
      </x:c>
      <x:c r="C26" t="str">
        <x:v>D. Nguyen</x:v>
      </x:c>
      <x:c r="D26" t="str">
        <x:v>HR</x:v>
      </x:c>
      <x:c r="E26" t="str">
        <x:v>VPN Access</x:v>
      </x:c>
      <x:c r="F26" t="str">
        <x:v>User unable to connect to VPN remotely</x:v>
      </x:c>
      <x:c r="G26" t="str">
        <x:v>Medium</x:v>
      </x:c>
      <x:c r="H26" t="str">
        <x:v>Resolved</x:v>
      </x:c>
      <x:c r="I26" t="str">
        <x:v>E. O.</x:v>
      </x:c>
      <x:c r="J26" s="14" t="n">
        <x:v>4</x:v>
      </x:c>
      <x:c r="K26" s="14" t="n">
        <x:v>16</x:v>
      </x:c>
      <x:c r="L26" s="14" t="n">
        <x:v>11.6</x:v>
      </x:c>
      <x:c r="M26" t="str">
        <x:f>IF(L26="","Pending",IF(L26&lt;=K26,"Yes","No"))</x:f>
        <x:v>Yes</x:v>
      </x:c>
      <x:c r="N26" t="str">
        <x:v>No</x:v>
      </x:c>
      <x:c r="O26" t="str">
        <x:v>KB002</x:v>
      </x:c>
      <x:c r="P26" t="str">
        <x:v>VPN client restarted and profile verified; escalated if access issue persisted.</x:v>
      </x:c>
    </x:row>
    <x:row r="27">
      <x:c r="A27" t="str">
        <x:v>T026</x:v>
      </x:c>
      <x:c r="B27" s="12" t="n">
        <x:v>46138</x:v>
      </x:c>
      <x:c r="C27" t="str">
        <x:v>R. Smith</x:v>
      </x:c>
      <x:c r="D27" t="str">
        <x:v>Finance</x:v>
      </x:c>
      <x:c r="E27" t="str">
        <x:v>Account Lockout</x:v>
      </x:c>
      <x:c r="F27" t="str">
        <x:v>User account locked after multiple failed login attempts</x:v>
      </x:c>
      <x:c r="G27" t="str">
        <x:v>High</x:v>
      </x:c>
      <x:c r="H27" t="str">
        <x:v>In Progress</x:v>
      </x:c>
      <x:c r="I27" t="str">
        <x:v>Tier 1 Queue</x:v>
      </x:c>
      <x:c r="J27" s="14" t="n">
        <x:v>0.5</x:v>
      </x:c>
      <x:c r="K27" s="14" t="n">
        <x:v>8</x:v>
      </x:c>
      <x:c r="L27" s="14"/>
      <x:c r="M27" t="str">
        <x:f>IF(L27="","Pending",IF(L27&lt;=K27,"Yes","No"))</x:f>
        <x:v>Pending</x:v>
      </x:c>
      <x:c r="N27" t="str">
        <x:v>No</x:v>
      </x:c>
      <x:c r="O27" t="str">
        <x:v>KB001</x:v>
      </x:c>
      <x:c r="P27" t="str">
        <x:v>Troubleshooting in progress.</x:v>
      </x:c>
    </x:row>
    <x:row r="28">
      <x:c r="A28" t="str">
        <x:v>T027</x:v>
      </x:c>
      <x:c r="B28" s="12" t="n">
        <x:v>46139</x:v>
      </x:c>
      <x:c r="C28" t="str">
        <x:v>K. Wilson</x:v>
      </x:c>
      <x:c r="D28" t="str">
        <x:v>IT</x:v>
      </x:c>
      <x:c r="E28" t="str">
        <x:v>Printer Issue</x:v>
      </x:c>
      <x:c r="F28" t="str">
        <x:v>Printer offline or print jobs stuck in queue</x:v>
      </x:c>
      <x:c r="G28" t="str">
        <x:v>Low</x:v>
      </x:c>
      <x:c r="H28" t="str">
        <x:v>In Progress</x:v>
      </x:c>
      <x:c r="I28" t="str">
        <x:v>Tier 2 Support</x:v>
      </x:c>
      <x:c r="J28" s="14" t="n">
        <x:v>8</x:v>
      </x:c>
      <x:c r="K28" s="14" t="n">
        <x:v>40</x:v>
      </x:c>
      <x:c r="L28" s="14"/>
      <x:c r="M28" t="str">
        <x:f>IF(L28="","Pending",IF(L28&lt;=K28,"Yes","No"))</x:f>
        <x:v>Pending</x:v>
      </x:c>
      <x:c r="N28" t="str">
        <x:v>No</x:v>
      </x:c>
      <x:c r="O28" t="str">
        <x:v>KB004</x:v>
      </x:c>
      <x:c r="P28" t="str">
        <x:v>Troubleshooting in progress.</x:v>
      </x:c>
    </x:row>
    <x:row r="29">
      <x:c r="A29" t="str">
        <x:v>T028</x:v>
      </x:c>
      <x:c r="B29" s="12" t="n">
        <x:v>46140</x:v>
      </x:c>
      <x:c r="C29" t="str">
        <x:v>L. Chen</x:v>
      </x:c>
      <x:c r="D29" t="str">
        <x:v>Administration</x:v>
      </x:c>
      <x:c r="E29" t="str">
        <x:v>Hardware Issue</x:v>
      </x:c>
      <x:c r="F29" t="str">
        <x:v>Laptop peripheral or workstation hardware issue</x:v>
      </x:c>
      <x:c r="G29" t="str">
        <x:v>High</x:v>
      </x:c>
      <x:c r="H29" t="str">
        <x:v>In Progress</x:v>
      </x:c>
      <x:c r="I29" t="str">
        <x:v>Desktop Support</x:v>
      </x:c>
      <x:c r="J29" s="14" t="n">
        <x:v>0.5</x:v>
      </x:c>
      <x:c r="K29" s="14" t="n">
        <x:v>8</x:v>
      </x:c>
      <x:c r="L29" s="14"/>
      <x:c r="M29" t="str">
        <x:f>IF(L29="","Pending",IF(L29&lt;=K29,"Yes","No"))</x:f>
        <x:v>Pending</x:v>
      </x:c>
      <x:c r="N29" t="str">
        <x:v>Yes</x:v>
      </x:c>
      <x:c r="O29" t="str">
        <x:v>N/A</x:v>
      </x:c>
      <x:c r="P29" t="str">
        <x:v>Troubleshooting in progress.</x:v>
      </x:c>
    </x:row>
    <x:row r="30">
      <x:c r="A30" t="str">
        <x:v>T029</x:v>
      </x:c>
      <x:c r="B30" s="12" t="n">
        <x:v>46141</x:v>
      </x:c>
      <x:c r="C30" t="str">
        <x:v>N. Davis</x:v>
      </x:c>
      <x:c r="D30" t="str">
        <x:v>Member Services</x:v>
      </x:c>
      <x:c r="E30" t="str">
        <x:v>Software Installation</x:v>
      </x:c>
      <x:c r="F30" t="str">
        <x:v>User needs approved business application installed</x:v>
      </x:c>
      <x:c r="G30" t="str">
        <x:v>Medium</x:v>
      </x:c>
      <x:c r="H30" t="str">
        <x:v>Open</x:v>
      </x:c>
      <x:c r="I30" t="str">
        <x:v>Network Team</x:v>
      </x:c>
      <x:c r="J30" s="14" t="n">
        <x:v>4</x:v>
      </x:c>
      <x:c r="K30" s="14" t="n">
        <x:v>16</x:v>
      </x:c>
      <x:c r="L30" s="14"/>
      <x:c r="M30" t="str">
        <x:f>IF(L30="","Pending",IF(L30&lt;=K30,"Yes","No"))</x:f>
        <x:v>Pending</x:v>
      </x:c>
      <x:c r="N30" t="str">
        <x:v>No</x:v>
      </x:c>
      <x:c r="O30" t="str">
        <x:v>KB003</x:v>
      </x:c>
      <x:c r="P30" t="str">
        <x:v>Troubleshooting in progress.</x:v>
      </x:c>
    </x:row>
    <x:row r="31">
      <x:c r="A31" t="str">
        <x:v>T030</x:v>
      </x:c>
      <x:c r="B31" s="12" t="n">
        <x:v>46142</x:v>
      </x:c>
      <x:c r="C31" t="str">
        <x:v>A. Johnson</x:v>
      </x:c>
      <x:c r="D31" t="str">
        <x:v>Clinical Operations</x:v>
      </x:c>
      <x:c r="E31" t="str">
        <x:v>VPN Access</x:v>
      </x:c>
      <x:c r="F31" t="str">
        <x:v>User unable to connect to VPN remotely</x:v>
      </x:c>
      <x:c r="G31" t="str">
        <x:v>Low</x:v>
      </x:c>
      <x:c r="H31" t="str">
        <x:v>Open</x:v>
      </x:c>
      <x:c r="I31" t="str">
        <x:v>E. O.</x:v>
      </x:c>
      <x:c r="J31" s="14" t="n">
        <x:v>8</x:v>
      </x:c>
      <x:c r="K31" s="14" t="n">
        <x:v>40</x:v>
      </x:c>
      <x:c r="L31" s="14"/>
      <x:c r="M31" t="str">
        <x:f>IF(L31="","Pending",IF(L31&lt;=K31,"Yes","No"))</x:f>
        <x:v>Pending</x:v>
      </x:c>
      <x:c r="N31" t="str">
        <x:v>No</x:v>
      </x:c>
      <x:c r="O31" t="str">
        <x:v>KB002</x:v>
      </x:c>
      <x:c r="P31" t="str">
        <x:v>Troubleshooting in progress.</x:v>
      </x:c>
    </x:row>
  </x:sheetData>
  <x:conditionalFormatting sqref="G2:G31">
    <x:cfRule type="expression" dxfId="0" priority="1">
      <x:formula>G2="Critical"</x:formula>
    </x:cfRule>
    <x:cfRule type="expression" dxfId="1" priority="2">
      <x:formula>G2="High"</x:formula>
    </x:cfRule>
  </x:conditionalFormatting>
  <x:conditionalFormatting sqref="M2:M31">
    <x:cfRule type="expression" dxfId="2" priority="3">
      <x:formula>M2="No"</x:formula>
    </x:cfRule>
    <x:cfRule type="expression" dxfId="3" priority="4">
      <x:formula>M2="Yes"</x:formula>
    </x:cfRule>
  </x:conditionalFormatting>
  <x:dataValidations count="4">
    <x:dataValidation type="list" sqref="G2:G31">
      <x:formula1>Lists!$A$2:$A$5</x:formula1>
    </x:dataValidation>
    <x:dataValidation type="list" sqref="H2:H31">
      <x:formula1>Lists!$B$2:$B$6</x:formula1>
    </x:dataValidation>
    <x:dataValidation type="list" sqref="E2:E31">
      <x:formula1>Lists!$C$2:$C$10</x:formula1>
    </x:dataValidation>
    <x:dataValidation type="list" sqref="I2:I31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d541c438064b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7.779998779296875" hidden="0" customWidth="1"/>
    <x:col min="2" max="2" width="5.519999980926514" hidden="0" customWidth="1"/>
    <x:col min="4" max="4" width="6.730000019073486" hidden="0" customWidth="1"/>
    <x:col min="5" max="5" width="5.519999980926514" hidden="0" customWidth="1"/>
    <x:col min="7" max="7" width="8.75" hidden="0" customWidth="1"/>
    <x:col min="8" max="8" width="5.519999980926514" hidden="0" customWidth="1"/>
  </x:cols>
  <x:sheetData>
    <x:row r="1">
      <x:c r="A1" s="26" t="str">
        <x:v>IT Helpdesk Ticketing System Dashboard</x:v>
      </x:c>
      <x:c r="B1" s="26" t="str"/>
      <x:c r="C1" s="26" t="str"/>
      <x:c r="D1" s="26" t="str"/>
      <x:c r="E1" s="26" t="str"/>
      <x:c r="F1" s="26" t="str"/>
      <x:c r="G1" s="26" t="str"/>
      <x:c r="H1" s="26" t="str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Metric</x:v>
      </x:c>
      <x:c r="B3" s="28" t="str">
        <x:v>Value</x:v>
      </x:c>
      <x:c r="C3" s="27"/>
      <x:c r="D3" s="28" t="str">
        <x:v>Priority</x:v>
      </x:c>
      <x:c r="E3" s="28" t="str">
        <x:v>Tickets</x:v>
      </x:c>
      <x:c r="F3" s="27"/>
      <x:c r="G3" s="28" t="str">
        <x:v>Status</x:v>
      </x:c>
      <x:c r="H3" s="28" t="str">
        <x:v>Tickets</x:v>
      </x:c>
    </x:row>
    <x:row r="4">
      <x:c r="A4" s="27" t="str">
        <x:v>Total Tickets</x:v>
      </x:c>
      <x:c r="B4" s="27" t="n">
        <x:f>COUNTA(Tickets!A2:A31)</x:f>
        <x:v>30</x:v>
      </x:c>
      <x:c r="C4" s="27"/>
      <x:c r="D4" s="27" t="str">
        <x:v>Critical</x:v>
      </x:c>
      <x:c r="E4" s="27" t="n">
        <x:f>COUNTIF(Tickets!G2:G31,"Critical")</x:f>
        <x:v>4</x:v>
      </x:c>
      <x:c r="F4" s="27"/>
      <x:c r="G4" s="27" t="str">
        <x:v>Open</x:v>
      </x:c>
      <x:c r="H4" s="27" t="n">
        <x:f>COUNTIF(Tickets!H2:H31,"Open")</x:f>
        <x:v>2</x:v>
      </x:c>
    </x:row>
    <x:row r="5">
      <x:c r="A5" s="27" t="str">
        <x:v>Closed/Resolved Tickets</x:v>
      </x:c>
      <x:c r="B5" s="27" t="n">
        <x:f>COUNTIF(Tickets!H2:H31,"Closed")+COUNTIF(Tickets!H2:H31,"Resolved")</x:f>
        <x:v>25</x:v>
      </x:c>
      <x:c r="C5" s="27"/>
      <x:c r="D5" s="27" t="str">
        <x:v>High</x:v>
      </x:c>
      <x:c r="E5" s="27" t="n">
        <x:f>COUNTIF(Tickets!G2:G31,"High")</x:f>
        <x:v>8</x:v>
      </x:c>
      <x:c r="F5" s="27"/>
      <x:c r="G5" s="27" t="str">
        <x:v>In Progress</x:v>
      </x:c>
      <x:c r="H5" s="27" t="n">
        <x:f>COUNTIF(Tickets!H2:H31,"In Progress")</x:f>
        <x:v>3</x:v>
      </x:c>
    </x:row>
    <x:row r="6">
      <x:c r="A6" s="27" t="str">
        <x:v>Open/In Progress Tickets</x:v>
      </x:c>
      <x:c r="B6" s="27" t="n">
        <x:f>COUNTIF(Tickets!H2:H31,"Open")+COUNTIF(Tickets!H2:H31,"In Progress")</x:f>
        <x:v>5</x:v>
      </x:c>
      <x:c r="C6" s="27"/>
      <x:c r="D6" s="27" t="str">
        <x:v>Medium</x:v>
      </x:c>
      <x:c r="E6" s="27" t="n">
        <x:f>COUNTIF(Tickets!G2:G31,"Medium")</x:f>
        <x:v>9</x:v>
      </x:c>
      <x:c r="F6" s="27"/>
      <x:c r="G6" s="27" t="str">
        <x:v>Resolved</x:v>
      </x:c>
      <x:c r="H6" s="27" t="n">
        <x:f>COUNTIF(Tickets!H2:H31,"Resolved")</x:f>
        <x:v>1</x:v>
      </x:c>
    </x:row>
    <x:row r="7">
      <x:c r="A7" s="27" t="str">
        <x:v>Escalated Tickets</x:v>
      </x:c>
      <x:c r="B7" s="27" t="n">
        <x:f>COUNTIF(Tickets!N2:N31,"Yes")</x:f>
        <x:v>7</x:v>
      </x:c>
      <x:c r="C7" s="27"/>
      <x:c r="D7" s="27" t="str">
        <x:v>Low</x:v>
      </x:c>
      <x:c r="E7" s="27" t="n">
        <x:f>COUNTIF(Tickets!G2:G31,"Low")</x:f>
        <x:v>9</x:v>
      </x:c>
      <x:c r="F7" s="27"/>
      <x:c r="G7" s="27" t="str">
        <x:v>Closed</x:v>
      </x:c>
      <x:c r="H7" s="27" t="n">
        <x:f>COUNTIF(Tickets!H2:H31,"Closed")</x:f>
        <x:v>24</x:v>
      </x:c>
    </x:row>
    <x:row r="8">
      <x:c r="A8" s="27" t="str">
        <x:v>SLA Compliance</x:v>
      </x:c>
      <x:c r="B8" s="29" t="n">
        <x:f>COUNTIF(Tickets!M2:M31,"Yes")/(COUNTIF(Tickets!M2:M31,"Yes")+COUNTIF(Tickets!M2:M31,"No"))</x:f>
        <x:v>0.8</x:v>
      </x:c>
      <x:c r="C8" s="27"/>
      <x:c r="D8" s="27"/>
      <x:c r="E8" s="27"/>
      <x:c r="F8" s="27"/>
      <x:c r="G8" s="27" t="str">
        <x:v>Escalated</x:v>
      </x:c>
      <x:c r="H8" s="27" t="n">
        <x:f>COUNTIF(Tickets!H2:H31,"Escalated")</x:f>
        <x:v>0</x:v>
      </x:c>
    </x:row>
    <x:row r="9">
      <x:c r="A9" s="27" t="str">
        <x:v>Average Resolution Hours</x:v>
      </x:c>
      <x:c r="B9" s="30" t="n">
        <x:f>AVERAGE(Tickets!L2:L31)</x:f>
        <x:v>16.8</x:v>
      </x:c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8" t="str">
        <x:v>Category</x:v>
      </x:c>
      <x:c r="B12" s="28" t="str">
        <x:v>Tickets</x:v>
      </x:c>
      <x:c r="C12" s="27"/>
      <x:c r="D12" s="27"/>
      <x:c r="E12" s="27"/>
      <x:c r="F12" s="27"/>
      <x:c r="G12" s="27"/>
      <x:c r="H12" s="27"/>
    </x:row>
    <x:row r="13">
      <x:c r="A13" s="27" t="str">
        <x:v>Password Reset</x:v>
      </x:c>
      <x:c r="B13" s="27" t="n">
        <x:f>COUNTIF(Tickets!E2:E31,"Password Reset")</x:f>
        <x:v>2</x:v>
      </x:c>
      <x:c r="C13" s="27"/>
      <x:c r="D13" s="27"/>
      <x:c r="E13" s="27"/>
      <x:c r="F13" s="27"/>
      <x:c r="G13" s="27"/>
      <x:c r="H13" s="27"/>
    </x:row>
    <x:row r="14">
      <x:c r="A14" s="27" t="str">
        <x:v>Account Lockout</x:v>
      </x:c>
      <x:c r="B14" s="27" t="n">
        <x:f>COUNTIF(Tickets!E2:E31,"Account Lockout")</x:f>
        <x:v>4</x:v>
      </x:c>
      <x:c r="C14" s="27"/>
      <x:c r="D14" s="27"/>
      <x:c r="E14" s="27"/>
      <x:c r="F14" s="27"/>
      <x:c r="G14" s="27"/>
      <x:c r="H14" s="27"/>
    </x:row>
    <x:row r="15">
      <x:c r="A15" s="27" t="str">
        <x:v>Software Installation</x:v>
      </x:c>
      <x:c r="B15" s="27" t="n">
        <x:f>COUNTIF(Tickets!E2:E31,"Software Installation")</x:f>
        <x:v>3</x:v>
      </x:c>
      <x:c r="C15" s="27"/>
      <x:c r="D15" s="27"/>
      <x:c r="E15" s="27"/>
      <x:c r="F15" s="27"/>
      <x:c r="G15" s="27"/>
      <x:c r="H15" s="27"/>
    </x:row>
    <x:row r="16">
      <x:c r="A16" s="27" t="str">
        <x:v>Network Connectivity</x:v>
      </x:c>
      <x:c r="B16" s="27" t="n">
        <x:f>COUNTIF(Tickets!E2:E31,"Network Connectivity")</x:f>
        <x:v>4</x:v>
      </x:c>
      <x:c r="C16" s="27"/>
      <x:c r="D16" s="27"/>
      <x:c r="E16" s="27"/>
      <x:c r="F16" s="27"/>
      <x:c r="G16" s="27"/>
      <x:c r="H16" s="27"/>
    </x:row>
    <x:row r="17">
      <x:c r="A17" s="27" t="str">
        <x:v>Printer Issue</x:v>
      </x:c>
      <x:c r="B17" s="27" t="n">
        <x:f>COUNTIF(Tickets!E2:E31,"Printer Issue")</x:f>
        <x:v>3</x:v>
      </x:c>
      <x:c r="C17" s="27"/>
      <x:c r="D17" s="27"/>
      <x:c r="E17" s="27"/>
      <x:c r="F17" s="27"/>
      <x:c r="G17" s="27"/>
      <x:c r="H17" s="27"/>
    </x:row>
    <x:row r="18">
      <x:c r="A18" s="27" t="str">
        <x:v>Slow Computer</x:v>
      </x:c>
      <x:c r="B18" s="27" t="n">
        <x:f>COUNTIF(Tickets!E2:E31,"Slow Computer")</x:f>
        <x:v>3</x:v>
      </x:c>
      <x:c r="C18" s="27"/>
      <x:c r="D18" s="27"/>
      <x:c r="E18" s="27"/>
      <x:c r="F18" s="27"/>
      <x:c r="G18" s="27"/>
      <x:c r="H18" s="27"/>
    </x:row>
    <x:row r="19">
      <x:c r="A19" s="27" t="str">
        <x:v>VPN Access</x:v>
      </x:c>
      <x:c r="B19" s="27" t="n">
        <x:f>COUNTIF(Tickets!E2:E31,"VPN Access")</x:f>
        <x:v>4</x:v>
      </x:c>
      <x:c r="C19" s="27"/>
      <x:c r="D19" s="27"/>
      <x:c r="E19" s="27"/>
      <x:c r="F19" s="27"/>
      <x:c r="G19" s="27"/>
      <x:c r="H19" s="27"/>
    </x:row>
    <x:row r="20">
      <x:c r="A20" s="27" t="str">
        <x:v>Email Access</x:v>
      </x:c>
      <x:c r="B20" s="27" t="n">
        <x:f>COUNTIF(Tickets!E2:E31,"Email Access")</x:f>
        <x:v>3</x:v>
      </x:c>
      <x:c r="C20" s="27"/>
      <x:c r="D20" s="27"/>
      <x:c r="E20" s="27"/>
      <x:c r="F20" s="27"/>
      <x:c r="G20" s="27"/>
      <x:c r="H20" s="27"/>
    </x:row>
    <x:row r="21">
      <x:c r="A21" s="27" t="str">
        <x:v>Hardware Issue</x:v>
      </x:c>
      <x:c r="B21" s="27" t="n">
        <x:f>COUNTIF(Tickets!E2:E31,"Hardware Issue")</x:f>
        <x:v>4</x:v>
      </x:c>
      <x:c r="C21" s="27"/>
      <x:c r="D21" s="27"/>
      <x:c r="E21" s="27"/>
      <x:c r="F21" s="27"/>
      <x:c r="G21" s="27"/>
      <x:c r="H21" s="2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1ce81f779e94610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7" t="str">
        <x:v>Priority</x:v>
      </x:c>
      <x:c r="B1" s="17" t="str">
        <x:v>Status</x:v>
      </x:c>
      <x:c r="C1" s="17" t="str">
        <x:v>Category</x:v>
      </x:c>
      <x:c r="D1" s="17" t="str">
        <x:v>Assigned To</x:v>
      </x:c>
    </x:row>
    <x:row r="2">
      <x:c r="A2" t="str">
        <x:v>Critical</x:v>
      </x:c>
      <x:c r="B2" t="str">
        <x:v>Open</x:v>
      </x:c>
      <x:c r="C2" t="str">
        <x:v>Password Reset</x:v>
      </x:c>
      <x:c r="D2" t="str">
        <x:v>E. O.</x:v>
      </x:c>
    </x:row>
    <x:row r="3">
      <x:c r="A3" t="str">
        <x:v>High</x:v>
      </x:c>
      <x:c r="B3" t="str">
        <x:v>In Progress</x:v>
      </x:c>
      <x:c r="C3" t="str">
        <x:v>Account Lockout</x:v>
      </x:c>
      <x:c r="D3" t="str">
        <x:v>Tier 1 Queue</x:v>
      </x:c>
    </x:row>
    <x:row r="4">
      <x:c r="A4" t="str">
        <x:v>Medium</x:v>
      </x:c>
      <x:c r="B4" t="str">
        <x:v>Resolved</x:v>
      </x:c>
      <x:c r="C4" t="str">
        <x:v>Software Installation</x:v>
      </x:c>
      <x:c r="D4" t="str">
        <x:v>Tier 2 Support</x:v>
      </x:c>
    </x:row>
    <x:row r="5">
      <x:c r="A5" t="str">
        <x:v>Low</x:v>
      </x:c>
      <x:c r="B5" t="str">
        <x:v>Closed</x:v>
      </x:c>
      <x:c r="C5" t="str">
        <x:v>Network Connectivity</x:v>
      </x:c>
      <x:c r="D5" t="str">
        <x:v>Desktop Support</x:v>
      </x:c>
    </x:row>
    <x:row r="6">
      <x:c r="B6" t="str">
        <x:v>Escalated</x:v>
      </x:c>
      <x:c r="C6" t="str">
        <x:v>Printer Issue</x:v>
      </x:c>
      <x:c r="D6" t="str">
        <x:v>Network Team</x:v>
      </x:c>
    </x:row>
    <x:row r="7">
      <x:c r="C7" t="str">
        <x:v>Slow Computer</x:v>
      </x:c>
    </x:row>
    <x:row r="8">
      <x:c r="C8" t="str">
        <x:v>VPN Access</x:v>
      </x:c>
    </x:row>
    <x:row r="9">
      <x:c r="C9" t="str">
        <x:v>Email Access</x:v>
      </x:c>
    </x:row>
    <x:row r="10">
      <x:c r="C10" t="str">
        <x:v>Hardware Issue</x:v>
      </x:c>
    </x:row>
  </x:sheetData>
  <x:pageMargins left="0.7" right="0.7" top="0.75" bottom="0.75" header="0.3" footer="0.3"/>
</x:worksheet>
</file>